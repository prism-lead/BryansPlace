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e2777c86b94f1aa8/Desktop/"/>
    </mc:Choice>
  </mc:AlternateContent>
  <xr:revisionPtr revIDLastSave="3" documentId="8_{659CDFA6-ADE1-459A-9ADC-45189CD35383}" xr6:coauthVersionLast="47" xr6:coauthVersionMax="47" xr10:uidLastSave="{B1D8F3EA-93A2-484D-83D9-39C278B93714}"/>
  <bookViews>
    <workbookView xWindow="32580" yWindow="645" windowWidth="26565" windowHeight="19980" xr2:uid="{00000000-000D-0000-FFFF-FFFF00000000}"/>
  </bookViews>
  <sheets>
    <sheet name="Reduced Typing Tool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4" i="5" l="1"/>
  <c r="T24" i="5"/>
  <c r="U24" i="5"/>
  <c r="V24" i="5"/>
  <c r="W24" i="5"/>
  <c r="X24" i="5"/>
  <c r="Y24" i="5"/>
  <c r="Z24" i="5"/>
  <c r="AA24" i="5"/>
  <c r="S14" i="5"/>
  <c r="T14" i="5"/>
  <c r="U14" i="5"/>
  <c r="V14" i="5"/>
  <c r="W14" i="5"/>
  <c r="X14" i="5"/>
  <c r="Y14" i="5"/>
  <c r="Z14" i="5"/>
  <c r="AA14" i="5"/>
  <c r="S29" i="5" l="1"/>
  <c r="S20" i="5"/>
  <c r="T20" i="5"/>
  <c r="U20" i="5"/>
  <c r="V20" i="5"/>
  <c r="W20" i="5"/>
  <c r="X20" i="5"/>
  <c r="Y20" i="5"/>
  <c r="Z20" i="5"/>
  <c r="AA20" i="5"/>
  <c r="S21" i="5"/>
  <c r="T21" i="5"/>
  <c r="U21" i="5"/>
  <c r="V21" i="5"/>
  <c r="W21" i="5"/>
  <c r="X21" i="5"/>
  <c r="Y21" i="5"/>
  <c r="Z21" i="5"/>
  <c r="AA21" i="5"/>
  <c r="S22" i="5"/>
  <c r="T22" i="5"/>
  <c r="U22" i="5"/>
  <c r="V22" i="5"/>
  <c r="W22" i="5"/>
  <c r="X22" i="5"/>
  <c r="Y22" i="5"/>
  <c r="Z22" i="5"/>
  <c r="AA22" i="5"/>
  <c r="S23" i="5"/>
  <c r="T23" i="5"/>
  <c r="U23" i="5"/>
  <c r="V23" i="5"/>
  <c r="W23" i="5"/>
  <c r="X23" i="5"/>
  <c r="Y23" i="5"/>
  <c r="Z23" i="5"/>
  <c r="AA23" i="5"/>
  <c r="S25" i="5"/>
  <c r="T25" i="5"/>
  <c r="U25" i="5"/>
  <c r="V25" i="5"/>
  <c r="W25" i="5"/>
  <c r="X25" i="5"/>
  <c r="Y25" i="5"/>
  <c r="Z25" i="5"/>
  <c r="AA25" i="5"/>
  <c r="S26" i="5"/>
  <c r="T26" i="5"/>
  <c r="U26" i="5"/>
  <c r="V26" i="5"/>
  <c r="W26" i="5"/>
  <c r="X26" i="5"/>
  <c r="Y26" i="5"/>
  <c r="Z26" i="5"/>
  <c r="AA26" i="5"/>
  <c r="S27" i="5"/>
  <c r="T27" i="5"/>
  <c r="U27" i="5"/>
  <c r="V27" i="5"/>
  <c r="W27" i="5"/>
  <c r="X27" i="5"/>
  <c r="Y27" i="5"/>
  <c r="Z27" i="5"/>
  <c r="AA27" i="5"/>
  <c r="S28" i="5"/>
  <c r="T28" i="5"/>
  <c r="U28" i="5"/>
  <c r="V28" i="5"/>
  <c r="W28" i="5"/>
  <c r="X28" i="5"/>
  <c r="Y28" i="5"/>
  <c r="Z28" i="5"/>
  <c r="AA28" i="5"/>
  <c r="T29" i="5"/>
  <c r="U29" i="5"/>
  <c r="V29" i="5"/>
  <c r="W29" i="5"/>
  <c r="X29" i="5"/>
  <c r="Y29" i="5"/>
  <c r="Z29" i="5"/>
  <c r="AA29" i="5"/>
  <c r="S30" i="5"/>
  <c r="T30" i="5"/>
  <c r="U30" i="5"/>
  <c r="V30" i="5"/>
  <c r="W30" i="5"/>
  <c r="X30" i="5"/>
  <c r="Y30" i="5"/>
  <c r="Z30" i="5"/>
  <c r="AA30" i="5"/>
  <c r="T19" i="5"/>
  <c r="U19" i="5"/>
  <c r="V19" i="5"/>
  <c r="W19" i="5"/>
  <c r="X19" i="5"/>
  <c r="Y19" i="5"/>
  <c r="Z19" i="5"/>
  <c r="AA19" i="5"/>
  <c r="S19" i="5"/>
  <c r="S9" i="5"/>
  <c r="T9" i="5"/>
  <c r="U9" i="5"/>
  <c r="V9" i="5"/>
  <c r="W9" i="5"/>
  <c r="X9" i="5"/>
  <c r="Y9" i="5"/>
  <c r="Z9" i="5"/>
  <c r="AA9" i="5"/>
  <c r="S10" i="5"/>
  <c r="T10" i="5"/>
  <c r="U10" i="5"/>
  <c r="V10" i="5"/>
  <c r="W10" i="5"/>
  <c r="X10" i="5"/>
  <c r="Y10" i="5"/>
  <c r="Z10" i="5"/>
  <c r="AA10" i="5"/>
  <c r="S11" i="5"/>
  <c r="T11" i="5"/>
  <c r="U11" i="5"/>
  <c r="V11" i="5"/>
  <c r="W11" i="5"/>
  <c r="X11" i="5"/>
  <c r="Y11" i="5"/>
  <c r="Z11" i="5"/>
  <c r="AA11" i="5"/>
  <c r="S12" i="5"/>
  <c r="T12" i="5"/>
  <c r="U12" i="5"/>
  <c r="V12" i="5"/>
  <c r="W12" i="5"/>
  <c r="X12" i="5"/>
  <c r="Y12" i="5"/>
  <c r="Z12" i="5"/>
  <c r="AA12" i="5"/>
  <c r="S13" i="5"/>
  <c r="T13" i="5"/>
  <c r="U13" i="5"/>
  <c r="V13" i="5"/>
  <c r="W13" i="5"/>
  <c r="X13" i="5"/>
  <c r="Y13" i="5"/>
  <c r="Z13" i="5"/>
  <c r="AA13" i="5"/>
  <c r="S15" i="5"/>
  <c r="T15" i="5"/>
  <c r="U15" i="5"/>
  <c r="V15" i="5"/>
  <c r="W15" i="5"/>
  <c r="X15" i="5"/>
  <c r="Y15" i="5"/>
  <c r="Z15" i="5"/>
  <c r="AA15" i="5"/>
  <c r="S16" i="5"/>
  <c r="T16" i="5"/>
  <c r="U16" i="5"/>
  <c r="V16" i="5"/>
  <c r="W16" i="5"/>
  <c r="X16" i="5"/>
  <c r="Y16" i="5"/>
  <c r="Z16" i="5"/>
  <c r="AA16" i="5"/>
  <c r="T8" i="5"/>
  <c r="U8" i="5"/>
  <c r="V8" i="5"/>
  <c r="W8" i="5"/>
  <c r="X8" i="5"/>
  <c r="Y8" i="5"/>
  <c r="Z8" i="5"/>
  <c r="AA8" i="5"/>
  <c r="S8" i="5"/>
  <c r="Z7" i="5"/>
  <c r="AA7" i="5"/>
  <c r="Y7" i="5"/>
  <c r="X7" i="5"/>
  <c r="W7" i="5"/>
  <c r="V7" i="5"/>
  <c r="U7" i="5"/>
  <c r="T7" i="5"/>
  <c r="S7" i="5"/>
  <c r="T4" i="5"/>
  <c r="U4" i="5"/>
  <c r="V4" i="5"/>
  <c r="W4" i="5"/>
  <c r="X4" i="5"/>
  <c r="Y4" i="5"/>
  <c r="S4" i="5"/>
  <c r="U3" i="5"/>
  <c r="V3" i="5"/>
  <c r="W3" i="5"/>
  <c r="X3" i="5"/>
  <c r="Y3" i="5"/>
  <c r="T3" i="5"/>
  <c r="S3" i="5"/>
</calcChain>
</file>

<file path=xl/sharedStrings.xml><?xml version="1.0" encoding="utf-8"?>
<sst xmlns="http://schemas.openxmlformats.org/spreadsheetml/2006/main" count="148" uniqueCount="99">
  <si>
    <t>vector_justice</t>
  </si>
  <si>
    <t>vector_industry</t>
  </si>
  <si>
    <t>The federal government should invest extra funds in communities of color that have suffered historic health injustices, even if it means higher taxes</t>
  </si>
  <si>
    <t>Tech and data can improve care, but only if we stop bias, protect privacy, and provide benefits fairly.</t>
  </si>
  <si>
    <t>I trust mainstream experts and prefer step-by-step fixes—strengthening the ACA, not ripping it up.</t>
  </si>
  <si>
    <t>Digital tools, AI, and start-ups can universalize care faster than big bureaucracies—let’s remove red tape.</t>
  </si>
  <si>
    <t>Corporate greed hurts ordinary people. Government must crack down on prices, ads, and junk food.</t>
  </si>
  <si>
    <t>Healthcare is a human right. We need Medicare-for-All or something very close to it.</t>
  </si>
  <si>
    <t>Unions fought for good coverage. Policy should protect employer benefits and bargaining power.</t>
  </si>
  <si>
    <t>Racism and inequality drive poor health. Equity must be built into every health decision and budget.</t>
  </si>
  <si>
    <t>My faith calls me to fight for the poor and for broader access—especially in under-served communities.</t>
  </si>
  <si>
    <t>Government should stay small but defend marriage, family life, and personal responsibility.</t>
  </si>
  <si>
    <t>Big pharma and big agribusiness can’t be trusted; local food and local control are healthier.</t>
  </si>
  <si>
    <t>Small-town hospitals keep closing. Government must improve access to care for rural America.</t>
  </si>
  <si>
    <t>Vaccines are unsafe, full stop. No one should be forced or pressured to take them.</t>
  </si>
  <si>
    <t>Modern medicine ignores the whole person. Natural and alternative therapies deserve equal respect and coverage.</t>
  </si>
  <si>
    <t>Clean, whole-food living—not pills—keeps us healthy. The system ignores it because there’s no profit in it.</t>
  </si>
  <si>
    <t>Human beings thrive on meat-heavy, low-carb diets. Government guidelines are junk science.</t>
  </si>
  <si>
    <t>We must protect U.S. patients, workers, and supply chains first. Foreign competition and immigration come second.</t>
  </si>
  <si>
    <t>Free markets work best, but I defer to FDA and CDC experts on safety and innovation.</t>
  </si>
  <si>
    <t>Competition—private insurance, transparent prices, fewer rules—is the key to cheaper, better care.</t>
  </si>
  <si>
    <t>r1</t>
  </si>
  <si>
    <t>r2</t>
  </si>
  <si>
    <t>r3</t>
  </si>
  <si>
    <t>r4</t>
  </si>
  <si>
    <t>r5</t>
  </si>
  <si>
    <t>r6</t>
  </si>
  <si>
    <t>r7</t>
  </si>
  <si>
    <t>r8</t>
  </si>
  <si>
    <t>r10</t>
  </si>
  <si>
    <t>r11</t>
  </si>
  <si>
    <t>r12</t>
  </si>
  <si>
    <t>r9</t>
  </si>
  <si>
    <t>ATTITUDE_EQUITY_FUNDING (ATTITUDE_29)</t>
  </si>
  <si>
    <t>ATTITUDE_INFLUENCE</t>
  </si>
  <si>
    <t>Big corporations have too much influence over public health policies'</t>
  </si>
  <si>
    <t>μ</t>
  </si>
  <si>
    <t>σ</t>
  </si>
  <si>
    <t>Climate change is a public-health emergency. Clean energy and environmental justice are health policy.</t>
  </si>
  <si>
    <t>Drug and hospital prices are crushing people. I don’t care who fixes it—just bring costs down.</t>
  </si>
  <si>
    <t>zGOP12</t>
  </si>
  <si>
    <t>zGOP11</t>
  </si>
  <si>
    <t>zGOP10</t>
  </si>
  <si>
    <t>zGOP9</t>
  </si>
  <si>
    <t>zGOP8</t>
  </si>
  <si>
    <t>zGOP7</t>
  </si>
  <si>
    <t>zGOP5</t>
  </si>
  <si>
    <t>zGOP4</t>
  </si>
  <si>
    <t>zGOP3</t>
  </si>
  <si>
    <t>zGOP2</t>
  </si>
  <si>
    <t>zGOP1</t>
  </si>
  <si>
    <t>B-W_r1</t>
  </si>
  <si>
    <t>B-W_r2</t>
  </si>
  <si>
    <t>B-W_r3</t>
  </si>
  <si>
    <t>B-W_r4</t>
  </si>
  <si>
    <t>B-W_r5</t>
  </si>
  <si>
    <t>B-W_r6</t>
  </si>
  <si>
    <t>B-W_r7</t>
  </si>
  <si>
    <t>B-W_r9</t>
  </si>
  <si>
    <t>B-W_r10</t>
  </si>
  <si>
    <t>zDEM1</t>
  </si>
  <si>
    <t>zDEM2</t>
  </si>
  <si>
    <t>zDEM3</t>
  </si>
  <si>
    <t>zDEM4</t>
  </si>
  <si>
    <t>zDEM5</t>
  </si>
  <si>
    <t>zDEM6</t>
  </si>
  <si>
    <t>zDEM7</t>
  </si>
  <si>
    <t>zDEM9</t>
  </si>
  <si>
    <t>zDEM10</t>
  </si>
  <si>
    <t>SEG</t>
  </si>
  <si>
    <t>CENTROIDS</t>
  </si>
  <si>
    <t>(UCP) Universal Care Progressives</t>
  </si>
  <si>
    <t>(FJP) Faith &amp; Justice Progressives</t>
  </si>
  <si>
    <t>(HCP) Health Care Protectionists</t>
  </si>
  <si>
    <t>(HAD) Health Abundance Democrats</t>
  </si>
  <si>
    <t>(HCI) Health Care Incrementalists</t>
  </si>
  <si>
    <t>(GHI) Global Health Institutionalists</t>
  </si>
  <si>
    <t>B-W_r8</t>
  </si>
  <si>
    <t>B-W_r11</t>
  </si>
  <si>
    <t>B-W_r12</t>
  </si>
  <si>
    <t>(HF) Health Futurist</t>
  </si>
  <si>
    <t>(WE) Wellness Evangelists</t>
  </si>
  <si>
    <t>(TSP) Trust-the-Science Pragmatists</t>
  </si>
  <si>
    <t>(CEC) Consumer Empowerment Champions</t>
  </si>
  <si>
    <t>(TC) Traditional Conservatives</t>
  </si>
  <si>
    <t>(PP) Price Populists</t>
  </si>
  <si>
    <t>(PFF) Paleo Freedom Fighters</t>
  </si>
  <si>
    <t>(HHN) Holistic Health Naturalists</t>
  </si>
  <si>
    <t>(MFL) Medical Freedom Libertarians</t>
  </si>
  <si>
    <t>(VS) Vaccine Skeptics</t>
  </si>
  <si>
    <t>HARD-CODED Z-SCORED VALUES</t>
  </si>
  <si>
    <r>
      <rPr>
        <b/>
        <sz val="11"/>
        <color theme="1"/>
        <rFont val="Calibri"/>
        <family val="2"/>
        <scheme val="minor"/>
      </rPr>
      <t>D²_1</t>
    </r>
    <r>
      <rPr>
        <sz val="10"/>
        <color theme="1"/>
        <rFont val="Arial Unicode MS"/>
      </rPr>
      <t>=(zGOP1 - CENTROID)^2 + (zGOP2 - CENTROID)^2 + … (zGOP12 - CENROID)^2</t>
    </r>
  </si>
  <si>
    <t xml:space="preserve">EXP (- D2_1 / 2) </t>
  </si>
  <si>
    <t>SUM OF SQUARES =exp_1 + exp_2 + ... + exp_10</t>
  </si>
  <si>
    <r>
      <rPr>
        <b/>
        <sz val="11"/>
        <color theme="1"/>
        <rFont val="Calibri"/>
        <family val="2"/>
        <scheme val="minor"/>
      </rPr>
      <t>P_1</t>
    </r>
    <r>
      <rPr>
        <sz val="11"/>
        <color theme="1"/>
        <rFont val="Calibri"/>
        <family val="2"/>
        <scheme val="minor"/>
      </rPr>
      <t xml:space="preserve"> = =exp_1 / sum_exp</t>
    </r>
  </si>
  <si>
    <t>zGOP6</t>
  </si>
  <si>
    <t>zDEM8</t>
  </si>
  <si>
    <t>Reproductive freedom—including abortion access—is non-negotiable and central to health policy.</t>
  </si>
  <si>
    <t>My body, my choice—whether mandates, supplements, or experimental drugs. Government should butt out.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</si>
</sst>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8"/>
      <color theme="1"/>
      <name val="Arial Nova Light"/>
      <family val="2"/>
    </font>
    <font>
      <b/>
      <sz val="11"/>
      <color theme="1"/>
      <name val="Arial Nova Light"/>
      <family val="2"/>
    </font>
    <font>
      <sz val="9"/>
      <color rgb="FF00B0F0"/>
      <name val="Arial Nova Light"/>
      <family val="2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 Nova Light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left" vertical="top"/>
    </xf>
    <xf numFmtId="0" fontId="0" fillId="0" borderId="0" xfId="0" quotePrefix="1" applyAlignment="1">
      <alignment horizontal="left" vertical="top"/>
    </xf>
    <xf numFmtId="0" fontId="5" fillId="0" borderId="0" xfId="0" applyFont="1" applyAlignment="1">
      <alignment horizontal="left" vertical="top"/>
    </xf>
    <xf numFmtId="0" fontId="0" fillId="0" borderId="1" xfId="0" applyBorder="1"/>
    <xf numFmtId="0" fontId="0" fillId="3" borderId="0" xfId="0" applyFill="1" applyAlignment="1">
      <alignment horizontal="right"/>
    </xf>
    <xf numFmtId="0" fontId="0" fillId="3" borderId="0" xfId="0" applyFill="1"/>
    <xf numFmtId="0" fontId="0" fillId="3" borderId="6" xfId="0" applyFill="1" applyBorder="1"/>
    <xf numFmtId="0" fontId="0" fillId="3" borderId="1" xfId="0" applyFill="1" applyBorder="1"/>
    <xf numFmtId="0" fontId="0" fillId="3" borderId="7" xfId="0" applyFill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" xfId="0" applyBorder="1" applyAlignment="1">
      <alignment horizontal="right"/>
    </xf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2" borderId="2" xfId="0" applyFill="1" applyBorder="1"/>
    <xf numFmtId="0" fontId="7" fillId="4" borderId="0" xfId="0" applyFont="1" applyFill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0" borderId="0" xfId="0" applyFont="1" applyFill="1"/>
  </cellXfs>
  <cellStyles count="1">
    <cellStyle name="Normal" xfId="0" builtinId="0"/>
  </cellStyles>
  <dxfs count="3">
    <dxf>
      <fill>
        <patternFill>
          <bgColor theme="6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6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66"/>
  <sheetViews>
    <sheetView tabSelected="1" zoomScale="70" zoomScaleNormal="70" workbookViewId="0"/>
  </sheetViews>
  <sheetFormatPr defaultRowHeight="15" x14ac:dyDescent="0.25"/>
  <cols>
    <col min="1" max="1" width="11.140625" customWidth="1"/>
    <col min="2" max="2" width="13.85546875" customWidth="1"/>
    <col min="26" max="26" width="9.28515625" customWidth="1"/>
    <col min="32" max="32" width="9.7109375" customWidth="1"/>
  </cols>
  <sheetData>
    <row r="1" spans="1:27" x14ac:dyDescent="0.25">
      <c r="S1" s="23" t="s">
        <v>90</v>
      </c>
      <c r="T1" s="23"/>
      <c r="U1" s="23"/>
      <c r="V1" s="23"/>
      <c r="W1" s="23"/>
      <c r="X1" s="23"/>
      <c r="Y1" s="23"/>
      <c r="Z1" s="23"/>
      <c r="AA1" s="23"/>
    </row>
    <row r="2" spans="1:27" x14ac:dyDescent="0.25">
      <c r="O2" s="3" t="s">
        <v>36</v>
      </c>
      <c r="P2" s="3" t="s">
        <v>37</v>
      </c>
      <c r="S2" s="22">
        <v>1</v>
      </c>
      <c r="T2" s="22">
        <v>2</v>
      </c>
      <c r="U2" s="22">
        <v>3</v>
      </c>
      <c r="V2" s="22">
        <v>4</v>
      </c>
      <c r="W2" s="22">
        <v>5</v>
      </c>
      <c r="X2" s="22">
        <v>6</v>
      </c>
      <c r="Y2" s="22">
        <v>7</v>
      </c>
    </row>
    <row r="3" spans="1:27" x14ac:dyDescent="0.25">
      <c r="A3" s="2" t="s">
        <v>0</v>
      </c>
      <c r="B3" s="6" t="s">
        <v>33</v>
      </c>
      <c r="C3" s="4" t="s">
        <v>2</v>
      </c>
      <c r="O3">
        <v>4.8681840000000003</v>
      </c>
      <c r="P3">
        <v>1.5152158</v>
      </c>
      <c r="S3">
        <f t="shared" ref="S3:Y3" si="0">(S2-$O3)/$P3</f>
        <v>-2.5528931258504568</v>
      </c>
      <c r="T3">
        <f t="shared" si="0"/>
        <v>-1.8929211271424178</v>
      </c>
      <c r="U3">
        <f t="shared" si="0"/>
        <v>-1.232949128434379</v>
      </c>
      <c r="V3">
        <f t="shared" si="0"/>
        <v>-0.57297712972634018</v>
      </c>
      <c r="W3">
        <f t="shared" si="0"/>
        <v>8.6994868981698656E-2</v>
      </c>
      <c r="X3">
        <f t="shared" si="0"/>
        <v>0.74696686768973752</v>
      </c>
      <c r="Y3">
        <f t="shared" si="0"/>
        <v>1.4069388663977762</v>
      </c>
    </row>
    <row r="4" spans="1:27" x14ac:dyDescent="0.25">
      <c r="A4" s="2" t="s">
        <v>1</v>
      </c>
      <c r="B4" s="6" t="s">
        <v>34</v>
      </c>
      <c r="C4" s="5" t="s">
        <v>35</v>
      </c>
      <c r="O4">
        <v>5.4958689999999999</v>
      </c>
      <c r="P4">
        <v>1.3157188</v>
      </c>
      <c r="S4">
        <f t="shared" ref="S4:Y4" si="1">(S2-$O4)/$P4</f>
        <v>-3.4170439762660534</v>
      </c>
      <c r="T4">
        <f t="shared" si="1"/>
        <v>-2.6570031529533513</v>
      </c>
      <c r="U4">
        <f t="shared" si="1"/>
        <v>-1.8969623296406497</v>
      </c>
      <c r="V4">
        <f t="shared" si="1"/>
        <v>-1.1369215063279479</v>
      </c>
      <c r="W4">
        <f t="shared" si="1"/>
        <v>-0.37688068301524602</v>
      </c>
      <c r="X4">
        <f t="shared" si="1"/>
        <v>0.38316014029745576</v>
      </c>
      <c r="Y4">
        <f t="shared" si="1"/>
        <v>1.1432009636101574</v>
      </c>
    </row>
    <row r="5" spans="1:27" x14ac:dyDescent="0.25">
      <c r="A5" s="2"/>
      <c r="B5" s="6"/>
      <c r="C5" s="5"/>
    </row>
    <row r="6" spans="1:27" x14ac:dyDescent="0.25">
      <c r="A6" s="2"/>
      <c r="B6" s="6"/>
      <c r="C6" s="5"/>
      <c r="S6" s="22">
        <v>-4</v>
      </c>
      <c r="T6" s="22">
        <v>-3</v>
      </c>
      <c r="U6" s="22">
        <v>-2</v>
      </c>
      <c r="V6" s="22">
        <v>-1</v>
      </c>
      <c r="W6" s="22">
        <v>0</v>
      </c>
      <c r="X6" s="22">
        <v>1</v>
      </c>
      <c r="Y6" s="22">
        <v>2</v>
      </c>
      <c r="Z6" s="22">
        <v>3</v>
      </c>
      <c r="AA6" s="22">
        <v>4</v>
      </c>
    </row>
    <row r="7" spans="1:27" x14ac:dyDescent="0.25">
      <c r="A7" s="2" t="s">
        <v>21</v>
      </c>
      <c r="B7" s="6" t="s">
        <v>51</v>
      </c>
      <c r="C7" s="5" t="s">
        <v>3</v>
      </c>
      <c r="O7">
        <v>-0.60197599999999996</v>
      </c>
      <c r="P7">
        <v>1.5901452</v>
      </c>
      <c r="S7">
        <f t="shared" ref="S7:AA7" si="2">(S6-$O7)/$P7</f>
        <v>-2.1369268668043646</v>
      </c>
      <c r="T7">
        <f t="shared" si="2"/>
        <v>-1.5080534783867536</v>
      </c>
      <c r="U7">
        <f t="shared" si="2"/>
        <v>-0.87918008996914243</v>
      </c>
      <c r="V7">
        <f t="shared" si="2"/>
        <v>-0.25030670155153129</v>
      </c>
      <c r="W7">
        <f t="shared" si="2"/>
        <v>0.37856668686607986</v>
      </c>
      <c r="X7">
        <f t="shared" si="2"/>
        <v>1.0074400752836912</v>
      </c>
      <c r="Y7">
        <f t="shared" si="2"/>
        <v>1.6363134637013022</v>
      </c>
      <c r="Z7">
        <f t="shared" si="2"/>
        <v>2.2651868521189136</v>
      </c>
      <c r="AA7">
        <f t="shared" si="2"/>
        <v>2.8940602405365241</v>
      </c>
    </row>
    <row r="8" spans="1:27" x14ac:dyDescent="0.25">
      <c r="A8" s="2" t="s">
        <v>22</v>
      </c>
      <c r="B8" s="6" t="s">
        <v>52</v>
      </c>
      <c r="C8" s="5" t="s">
        <v>4</v>
      </c>
      <c r="O8">
        <v>-0.31770999999999999</v>
      </c>
      <c r="P8">
        <v>1.9044318</v>
      </c>
      <c r="S8">
        <f t="shared" ref="S8:AA16" si="3">(S$6-$O8)/$P8</f>
        <v>-1.9335373416890014</v>
      </c>
      <c r="T8">
        <f t="shared" si="3"/>
        <v>-1.4084463407930912</v>
      </c>
      <c r="U8">
        <f t="shared" si="3"/>
        <v>-0.88335533989718096</v>
      </c>
      <c r="V8">
        <f t="shared" si="3"/>
        <v>-0.35826433900127064</v>
      </c>
      <c r="W8">
        <f t="shared" si="3"/>
        <v>0.16682666189463966</v>
      </c>
      <c r="X8">
        <f t="shared" si="3"/>
        <v>0.69191766279054989</v>
      </c>
      <c r="Y8">
        <f t="shared" si="3"/>
        <v>1.2170086636864601</v>
      </c>
      <c r="Z8">
        <f t="shared" si="3"/>
        <v>1.7420996645823703</v>
      </c>
      <c r="AA8">
        <f t="shared" si="3"/>
        <v>2.2671906654782807</v>
      </c>
    </row>
    <row r="9" spans="1:27" x14ac:dyDescent="0.25">
      <c r="A9" s="2" t="s">
        <v>23</v>
      </c>
      <c r="B9" s="6" t="s">
        <v>53</v>
      </c>
      <c r="C9" s="5" t="s">
        <v>5</v>
      </c>
      <c r="O9">
        <v>-1.6906509999999999</v>
      </c>
      <c r="P9">
        <v>1.8092854</v>
      </c>
      <c r="S9">
        <f t="shared" si="3"/>
        <v>-1.2763873516030142</v>
      </c>
      <c r="T9">
        <f t="shared" si="3"/>
        <v>-0.72368295239656499</v>
      </c>
      <c r="U9">
        <f t="shared" si="3"/>
        <v>-0.17097855319011587</v>
      </c>
      <c r="V9">
        <f t="shared" si="3"/>
        <v>0.38172584601633325</v>
      </c>
      <c r="W9">
        <f t="shared" si="3"/>
        <v>0.9344302452227824</v>
      </c>
      <c r="X9">
        <f t="shared" si="3"/>
        <v>1.4871346444292315</v>
      </c>
      <c r="Y9">
        <f t="shared" si="3"/>
        <v>2.0398390436356806</v>
      </c>
      <c r="Z9">
        <f t="shared" si="3"/>
        <v>2.5925434428421297</v>
      </c>
      <c r="AA9">
        <f t="shared" si="3"/>
        <v>3.1452478420485788</v>
      </c>
    </row>
    <row r="10" spans="1:27" x14ac:dyDescent="0.25">
      <c r="A10" s="2" t="s">
        <v>24</v>
      </c>
      <c r="B10" s="6" t="s">
        <v>54</v>
      </c>
      <c r="C10" s="5" t="s">
        <v>6</v>
      </c>
      <c r="O10">
        <v>0.12819900000000001</v>
      </c>
      <c r="P10">
        <v>1.8516394</v>
      </c>
      <c r="S10">
        <f t="shared" si="3"/>
        <v>-2.2294832352346794</v>
      </c>
      <c r="T10">
        <f t="shared" si="3"/>
        <v>-1.6894212771666015</v>
      </c>
      <c r="U10">
        <f t="shared" si="3"/>
        <v>-1.1493593190985243</v>
      </c>
      <c r="V10">
        <f t="shared" si="3"/>
        <v>-0.60929736103044685</v>
      </c>
      <c r="W10">
        <f t="shared" si="3"/>
        <v>-6.9235402962369463E-2</v>
      </c>
      <c r="X10">
        <f t="shared" si="3"/>
        <v>0.47082655510570798</v>
      </c>
      <c r="Y10">
        <f t="shared" si="3"/>
        <v>1.0108885131737853</v>
      </c>
      <c r="Z10">
        <f t="shared" si="3"/>
        <v>1.5509504712418627</v>
      </c>
      <c r="AA10">
        <f t="shared" si="3"/>
        <v>2.0910124293099401</v>
      </c>
    </row>
    <row r="11" spans="1:27" x14ac:dyDescent="0.25">
      <c r="A11" s="2" t="s">
        <v>25</v>
      </c>
      <c r="B11" s="6" t="s">
        <v>55</v>
      </c>
      <c r="C11" s="5" t="s">
        <v>7</v>
      </c>
      <c r="O11">
        <v>1.5964020000000001</v>
      </c>
      <c r="P11">
        <v>1.9587787999999999</v>
      </c>
      <c r="S11">
        <f t="shared" si="3"/>
        <v>-2.8570872831582621</v>
      </c>
      <c r="T11">
        <f t="shared" si="3"/>
        <v>-2.3465651149583611</v>
      </c>
      <c r="U11">
        <f t="shared" si="3"/>
        <v>-1.8360429467584602</v>
      </c>
      <c r="V11">
        <f t="shared" si="3"/>
        <v>-1.3255207785585592</v>
      </c>
      <c r="W11">
        <f t="shared" si="3"/>
        <v>-0.81499861035865828</v>
      </c>
      <c r="X11">
        <f t="shared" si="3"/>
        <v>-0.30447644215875735</v>
      </c>
      <c r="Y11">
        <f t="shared" si="3"/>
        <v>0.20604572604114355</v>
      </c>
      <c r="Z11">
        <f t="shared" si="3"/>
        <v>0.7165678942410445</v>
      </c>
      <c r="AA11">
        <f t="shared" si="3"/>
        <v>1.2270900624409453</v>
      </c>
    </row>
    <row r="12" spans="1:27" x14ac:dyDescent="0.25">
      <c r="A12" s="2" t="s">
        <v>26</v>
      </c>
      <c r="B12" s="6" t="s">
        <v>56</v>
      </c>
      <c r="C12" s="5" t="s">
        <v>8</v>
      </c>
      <c r="O12">
        <v>9.5769000000000007E-2</v>
      </c>
      <c r="P12">
        <v>1.6803475999999999</v>
      </c>
      <c r="S12">
        <f t="shared" si="3"/>
        <v>-2.4374534173762616</v>
      </c>
      <c r="T12">
        <f t="shared" si="3"/>
        <v>-1.8423384542579169</v>
      </c>
      <c r="U12">
        <f t="shared" si="3"/>
        <v>-1.2472234911395714</v>
      </c>
      <c r="V12">
        <f t="shared" si="3"/>
        <v>-0.6521085280212261</v>
      </c>
      <c r="W12">
        <f t="shared" si="3"/>
        <v>-5.6993564902880815E-2</v>
      </c>
      <c r="X12">
        <f t="shared" si="3"/>
        <v>0.53812139821546445</v>
      </c>
      <c r="Y12">
        <f t="shared" si="3"/>
        <v>1.1332363613338099</v>
      </c>
      <c r="Z12">
        <f t="shared" si="3"/>
        <v>1.7283513244521549</v>
      </c>
      <c r="AA12">
        <f t="shared" si="3"/>
        <v>2.3234662875705001</v>
      </c>
    </row>
    <row r="13" spans="1:27" x14ac:dyDescent="0.25">
      <c r="A13" s="2" t="s">
        <v>27</v>
      </c>
      <c r="B13" s="6" t="s">
        <v>57</v>
      </c>
      <c r="C13" s="5" t="s">
        <v>9</v>
      </c>
      <c r="O13">
        <v>0.37040800000000002</v>
      </c>
      <c r="P13">
        <v>1.7644101999999999</v>
      </c>
      <c r="S13">
        <f t="shared" si="3"/>
        <v>-2.4769795595151289</v>
      </c>
      <c r="T13">
        <f t="shared" si="3"/>
        <v>-1.9102179300482394</v>
      </c>
      <c r="U13">
        <f t="shared" si="3"/>
        <v>-1.34345630058135</v>
      </c>
      <c r="V13">
        <f t="shared" si="3"/>
        <v>-0.77669467111446089</v>
      </c>
      <c r="W13">
        <f t="shared" si="3"/>
        <v>-0.20993304164757154</v>
      </c>
      <c r="X13">
        <f t="shared" si="3"/>
        <v>0.3568285878193177</v>
      </c>
      <c r="Y13">
        <f t="shared" si="3"/>
        <v>0.92359021728620705</v>
      </c>
      <c r="Z13">
        <f t="shared" si="3"/>
        <v>1.4903518467530965</v>
      </c>
      <c r="AA13">
        <f t="shared" si="3"/>
        <v>2.0571134762199859</v>
      </c>
    </row>
    <row r="14" spans="1:27" x14ac:dyDescent="0.25">
      <c r="A14" s="2" t="s">
        <v>28</v>
      </c>
      <c r="B14" s="6" t="s">
        <v>77</v>
      </c>
      <c r="C14" s="28" t="s">
        <v>97</v>
      </c>
      <c r="O14">
        <v>0.96579700000000002</v>
      </c>
      <c r="P14">
        <v>1.8620970999999999</v>
      </c>
      <c r="S14">
        <f t="shared" si="3"/>
        <v>-2.6667766143881542</v>
      </c>
      <c r="T14">
        <f t="shared" si="3"/>
        <v>-2.1297476914603433</v>
      </c>
      <c r="U14">
        <f t="shared" si="3"/>
        <v>-1.5927187685325326</v>
      </c>
      <c r="V14">
        <f t="shared" si="3"/>
        <v>-1.0556898456047217</v>
      </c>
      <c r="W14">
        <f t="shared" si="3"/>
        <v>-0.51866092267691088</v>
      </c>
      <c r="X14">
        <f t="shared" si="3"/>
        <v>1.8368000250899904E-2</v>
      </c>
      <c r="Y14">
        <f t="shared" si="3"/>
        <v>0.5553969231787107</v>
      </c>
      <c r="Z14">
        <f t="shared" si="3"/>
        <v>1.0924258461065215</v>
      </c>
      <c r="AA14">
        <f t="shared" si="3"/>
        <v>1.6294547690343322</v>
      </c>
    </row>
    <row r="15" spans="1:27" x14ac:dyDescent="0.25">
      <c r="A15" s="2" t="s">
        <v>32</v>
      </c>
      <c r="B15" s="6" t="s">
        <v>58</v>
      </c>
      <c r="C15" s="5" t="s">
        <v>10</v>
      </c>
      <c r="O15">
        <v>-1.0369900000000001</v>
      </c>
      <c r="P15">
        <v>2.1603602999999998</v>
      </c>
      <c r="S15">
        <f t="shared" si="3"/>
        <v>-1.3715351092130326</v>
      </c>
      <c r="T15">
        <f t="shared" si="3"/>
        <v>-0.90864935816493209</v>
      </c>
      <c r="U15">
        <f t="shared" si="3"/>
        <v>-0.44576360711683138</v>
      </c>
      <c r="V15">
        <f t="shared" si="3"/>
        <v>1.712214393126928E-2</v>
      </c>
      <c r="W15">
        <f t="shared" si="3"/>
        <v>0.48000789497936996</v>
      </c>
      <c r="X15">
        <f t="shared" si="3"/>
        <v>0.94289364602747072</v>
      </c>
      <c r="Y15">
        <f t="shared" si="3"/>
        <v>1.4057793970755714</v>
      </c>
      <c r="Z15">
        <f t="shared" si="3"/>
        <v>1.868665148123672</v>
      </c>
      <c r="AA15">
        <f t="shared" si="3"/>
        <v>2.3315508991717726</v>
      </c>
    </row>
    <row r="16" spans="1:27" x14ac:dyDescent="0.25">
      <c r="A16" s="2" t="s">
        <v>29</v>
      </c>
      <c r="B16" s="6" t="s">
        <v>59</v>
      </c>
      <c r="C16" s="5" t="s">
        <v>38</v>
      </c>
      <c r="O16">
        <v>0.49075200000000002</v>
      </c>
      <c r="P16">
        <v>1.8040342</v>
      </c>
      <c r="S16">
        <f t="shared" si="3"/>
        <v>-2.4892831854296329</v>
      </c>
      <c r="T16">
        <f t="shared" si="3"/>
        <v>-1.9349699689728721</v>
      </c>
      <c r="U16">
        <f t="shared" si="3"/>
        <v>-1.3806567525161109</v>
      </c>
      <c r="V16">
        <f t="shared" si="3"/>
        <v>-0.82634353605934963</v>
      </c>
      <c r="W16">
        <f t="shared" si="3"/>
        <v>-0.2720303196025885</v>
      </c>
      <c r="X16">
        <f t="shared" si="3"/>
        <v>0.28228289685417268</v>
      </c>
      <c r="Y16">
        <f t="shared" si="3"/>
        <v>0.83659611331093386</v>
      </c>
      <c r="Z16">
        <f t="shared" si="3"/>
        <v>1.3909093297676951</v>
      </c>
      <c r="AA16">
        <f t="shared" si="3"/>
        <v>1.9452225462244561</v>
      </c>
    </row>
    <row r="17" spans="1:32" x14ac:dyDescent="0.25">
      <c r="A17" s="2"/>
      <c r="B17" s="6"/>
      <c r="C17" s="5"/>
    </row>
    <row r="18" spans="1:32" x14ac:dyDescent="0.25">
      <c r="A18" s="2"/>
      <c r="B18" s="6"/>
      <c r="C18" s="5"/>
      <c r="S18" s="22">
        <v>-4</v>
      </c>
      <c r="T18" s="22">
        <v>-3</v>
      </c>
      <c r="U18" s="22">
        <v>-2</v>
      </c>
      <c r="V18" s="22">
        <v>-1</v>
      </c>
      <c r="W18" s="22">
        <v>0</v>
      </c>
      <c r="X18" s="22">
        <v>1</v>
      </c>
      <c r="Y18" s="22">
        <v>2</v>
      </c>
      <c r="Z18" s="22">
        <v>3</v>
      </c>
      <c r="AA18" s="22">
        <v>4</v>
      </c>
    </row>
    <row r="19" spans="1:32" x14ac:dyDescent="0.25">
      <c r="A19" s="2" t="s">
        <v>21</v>
      </c>
      <c r="B19" s="6" t="s">
        <v>51</v>
      </c>
      <c r="C19" s="5" t="s">
        <v>11</v>
      </c>
      <c r="O19">
        <v>0.22251018141429127</v>
      </c>
      <c r="P19">
        <v>1.7884063029969295</v>
      </c>
      <c r="S19">
        <f t="shared" ref="S19:AA30" si="4">(S$18-$O19)/$P19</f>
        <v>-2.3610463541413389</v>
      </c>
      <c r="T19">
        <f t="shared" si="4"/>
        <v>-1.8018892999952842</v>
      </c>
      <c r="U19">
        <f t="shared" si="4"/>
        <v>-1.2427322458492291</v>
      </c>
      <c r="V19">
        <f t="shared" si="4"/>
        <v>-0.68357519170317438</v>
      </c>
      <c r="W19">
        <f t="shared" si="4"/>
        <v>-0.12441813755711936</v>
      </c>
      <c r="X19">
        <f t="shared" si="4"/>
        <v>0.43473891658893554</v>
      </c>
      <c r="Y19">
        <f t="shared" si="4"/>
        <v>0.99389597073499047</v>
      </c>
      <c r="Z19">
        <f t="shared" si="4"/>
        <v>1.5530530248810452</v>
      </c>
      <c r="AA19">
        <f t="shared" si="4"/>
        <v>2.1122100790271001</v>
      </c>
    </row>
    <row r="20" spans="1:32" x14ac:dyDescent="0.25">
      <c r="A20" s="2" t="s">
        <v>22</v>
      </c>
      <c r="B20" s="6" t="s">
        <v>52</v>
      </c>
      <c r="C20" s="5" t="s">
        <v>12</v>
      </c>
      <c r="O20">
        <v>3.4616808589411269E-2</v>
      </c>
      <c r="P20">
        <v>1.540211289376177</v>
      </c>
      <c r="S20">
        <f t="shared" si="4"/>
        <v>-2.6195216438281848</v>
      </c>
      <c r="T20">
        <f t="shared" si="4"/>
        <v>-1.9702600737451448</v>
      </c>
      <c r="U20">
        <f t="shared" si="4"/>
        <v>-1.320998503662105</v>
      </c>
      <c r="V20">
        <f t="shared" si="4"/>
        <v>-0.67173693357906505</v>
      </c>
      <c r="W20">
        <f t="shared" si="4"/>
        <v>-2.2475363496025223E-2</v>
      </c>
      <c r="X20">
        <f t="shared" si="4"/>
        <v>0.62678620658701467</v>
      </c>
      <c r="Y20">
        <f t="shared" si="4"/>
        <v>1.2760477766700546</v>
      </c>
      <c r="Z20">
        <f t="shared" si="4"/>
        <v>1.9253093467530946</v>
      </c>
      <c r="AA20">
        <f t="shared" si="4"/>
        <v>2.5745709168361346</v>
      </c>
    </row>
    <row r="21" spans="1:32" x14ac:dyDescent="0.25">
      <c r="A21" s="2" t="s">
        <v>23</v>
      </c>
      <c r="B21" s="6" t="s">
        <v>53</v>
      </c>
      <c r="C21" s="5" t="s">
        <v>39</v>
      </c>
      <c r="O21">
        <v>0.47630507219548179</v>
      </c>
      <c r="P21">
        <v>1.8624952478533843</v>
      </c>
      <c r="S21">
        <f t="shared" si="4"/>
        <v>-2.4033914058866133</v>
      </c>
      <c r="T21">
        <f t="shared" si="4"/>
        <v>-1.8664772842787605</v>
      </c>
      <c r="U21">
        <f t="shared" si="4"/>
        <v>-1.3295631626709077</v>
      </c>
      <c r="V21">
        <f t="shared" si="4"/>
        <v>-0.79264904106305489</v>
      </c>
      <c r="W21">
        <f t="shared" si="4"/>
        <v>-0.25573491945520205</v>
      </c>
      <c r="X21">
        <f t="shared" si="4"/>
        <v>0.2811792021526508</v>
      </c>
      <c r="Y21">
        <f t="shared" si="4"/>
        <v>0.8180933237605037</v>
      </c>
      <c r="Z21">
        <f t="shared" si="4"/>
        <v>1.3550074453683567</v>
      </c>
      <c r="AA21">
        <f t="shared" si="4"/>
        <v>1.8919215669762095</v>
      </c>
    </row>
    <row r="22" spans="1:32" x14ac:dyDescent="0.25">
      <c r="A22" s="2" t="s">
        <v>24</v>
      </c>
      <c r="B22" s="6" t="s">
        <v>54</v>
      </c>
      <c r="C22" s="5" t="s">
        <v>13</v>
      </c>
      <c r="O22">
        <v>-7.6638282117734172E-2</v>
      </c>
      <c r="P22">
        <v>1.7029044832788276</v>
      </c>
      <c r="S22">
        <f t="shared" si="4"/>
        <v>-2.3039235355867396</v>
      </c>
      <c r="T22">
        <f t="shared" si="4"/>
        <v>-1.7166915388310744</v>
      </c>
      <c r="U22">
        <f t="shared" si="4"/>
        <v>-1.129459542075409</v>
      </c>
      <c r="V22">
        <f t="shared" si="4"/>
        <v>-0.54222754531974404</v>
      </c>
      <c r="W22">
        <f t="shared" si="4"/>
        <v>4.5004451435921015E-2</v>
      </c>
      <c r="X22">
        <f t="shared" si="4"/>
        <v>0.6322364481915862</v>
      </c>
      <c r="Y22">
        <f t="shared" si="4"/>
        <v>1.219468444947251</v>
      </c>
      <c r="Z22">
        <f t="shared" si="4"/>
        <v>1.8067004417029162</v>
      </c>
      <c r="AA22">
        <f t="shared" si="4"/>
        <v>2.3939324384585814</v>
      </c>
    </row>
    <row r="23" spans="1:32" x14ac:dyDescent="0.25">
      <c r="A23" s="2" t="s">
        <v>25</v>
      </c>
      <c r="B23" s="6" t="s">
        <v>55</v>
      </c>
      <c r="C23" s="5" t="s">
        <v>14</v>
      </c>
      <c r="O23">
        <v>-0.98778230285079327</v>
      </c>
      <c r="P23">
        <v>2.1271032756119501</v>
      </c>
      <c r="S23">
        <f t="shared" si="4"/>
        <v>-1.416112575108802</v>
      </c>
      <c r="T23">
        <f t="shared" si="4"/>
        <v>-0.94598965655313938</v>
      </c>
      <c r="U23">
        <f t="shared" si="4"/>
        <v>-0.47586673799747686</v>
      </c>
      <c r="V23">
        <f t="shared" si="4"/>
        <v>-5.7438194418142664E-3</v>
      </c>
      <c r="W23">
        <f t="shared" si="4"/>
        <v>0.46437909911384834</v>
      </c>
      <c r="X23">
        <f t="shared" si="4"/>
        <v>0.93450201766951102</v>
      </c>
      <c r="Y23">
        <f t="shared" si="4"/>
        <v>1.4046249362251737</v>
      </c>
      <c r="Z23">
        <f t="shared" si="4"/>
        <v>1.8747478547808363</v>
      </c>
      <c r="AA23">
        <f t="shared" si="4"/>
        <v>2.3448707733364991</v>
      </c>
    </row>
    <row r="24" spans="1:32" x14ac:dyDescent="0.25">
      <c r="A24" s="2" t="s">
        <v>26</v>
      </c>
      <c r="B24" s="6" t="s">
        <v>56</v>
      </c>
      <c r="C24" s="5" t="s">
        <v>98</v>
      </c>
      <c r="O24">
        <v>2.6841910403554235E-2</v>
      </c>
      <c r="P24">
        <v>1.9012419528662188</v>
      </c>
      <c r="S24">
        <f t="shared" si="4"/>
        <v>-2.118006024605593</v>
      </c>
      <c r="T24">
        <f t="shared" si="4"/>
        <v>-1.5920340416644165</v>
      </c>
      <c r="U24">
        <f t="shared" si="4"/>
        <v>-1.0660620587232401</v>
      </c>
      <c r="V24">
        <f t="shared" si="4"/>
        <v>-0.54009007578206336</v>
      </c>
      <c r="W24">
        <f t="shared" si="4"/>
        <v>-1.4118092840886817E-2</v>
      </c>
      <c r="X24">
        <f t="shared" si="4"/>
        <v>0.5118538901002897</v>
      </c>
      <c r="Y24">
        <f t="shared" si="4"/>
        <v>1.0378258730414662</v>
      </c>
      <c r="Z24">
        <f t="shared" si="4"/>
        <v>1.5637978559826426</v>
      </c>
      <c r="AA24">
        <f t="shared" si="4"/>
        <v>2.0897698389238193</v>
      </c>
    </row>
    <row r="25" spans="1:32" x14ac:dyDescent="0.25">
      <c r="A25" s="2" t="s">
        <v>27</v>
      </c>
      <c r="B25" s="6" t="s">
        <v>57</v>
      </c>
      <c r="C25" s="5" t="s">
        <v>15</v>
      </c>
      <c r="O25">
        <v>-0.37541651240281432</v>
      </c>
      <c r="P25">
        <v>1.9079276679385357</v>
      </c>
      <c r="S25">
        <f t="shared" si="4"/>
        <v>-1.8997488995552174</v>
      </c>
      <c r="T25">
        <f t="shared" si="4"/>
        <v>-1.3756200152141915</v>
      </c>
      <c r="U25">
        <f t="shared" si="4"/>
        <v>-0.85149113087316575</v>
      </c>
      <c r="V25">
        <f t="shared" si="4"/>
        <v>-0.32736224653213986</v>
      </c>
      <c r="W25">
        <f t="shared" si="4"/>
        <v>0.19676663780888598</v>
      </c>
      <c r="X25">
        <f t="shared" si="4"/>
        <v>0.72089552214991182</v>
      </c>
      <c r="Y25">
        <f t="shared" si="4"/>
        <v>1.2450244064909377</v>
      </c>
      <c r="Z25">
        <f t="shared" si="4"/>
        <v>1.7691532908319636</v>
      </c>
      <c r="AA25">
        <f t="shared" si="4"/>
        <v>2.293282175172989</v>
      </c>
    </row>
    <row r="26" spans="1:32" x14ac:dyDescent="0.25">
      <c r="A26" s="2" t="s">
        <v>28</v>
      </c>
      <c r="B26" s="6" t="s">
        <v>77</v>
      </c>
      <c r="C26" s="5" t="s">
        <v>16</v>
      </c>
      <c r="O26">
        <v>0.619955572010366</v>
      </c>
      <c r="P26">
        <v>1.7872788349944497</v>
      </c>
      <c r="S26">
        <f t="shared" si="4"/>
        <v>-2.5849103573280514</v>
      </c>
      <c r="T26">
        <f t="shared" si="4"/>
        <v>-2.025400570483233</v>
      </c>
      <c r="U26">
        <f t="shared" si="4"/>
        <v>-1.4658907836384143</v>
      </c>
      <c r="V26">
        <f t="shared" si="4"/>
        <v>-0.90638099679359585</v>
      </c>
      <c r="W26">
        <f t="shared" si="4"/>
        <v>-0.34687120994877735</v>
      </c>
      <c r="X26">
        <f t="shared" si="4"/>
        <v>0.21263857689604107</v>
      </c>
      <c r="Y26">
        <f t="shared" si="4"/>
        <v>0.77214836374085949</v>
      </c>
      <c r="Z26">
        <f t="shared" si="4"/>
        <v>1.3316581505856779</v>
      </c>
      <c r="AA26">
        <f t="shared" si="4"/>
        <v>1.8911679374304964</v>
      </c>
    </row>
    <row r="27" spans="1:32" x14ac:dyDescent="0.25">
      <c r="A27" s="2" t="s">
        <v>32</v>
      </c>
      <c r="B27" s="6" t="s">
        <v>58</v>
      </c>
      <c r="C27" s="5" t="s">
        <v>17</v>
      </c>
      <c r="O27">
        <v>-0.85116623472787811</v>
      </c>
      <c r="P27">
        <v>1.7756159515896359</v>
      </c>
      <c r="S27">
        <f t="shared" si="4"/>
        <v>-1.7733754658224943</v>
      </c>
      <c r="T27">
        <f t="shared" si="4"/>
        <v>-1.2101906177112001</v>
      </c>
      <c r="U27">
        <f t="shared" si="4"/>
        <v>-0.64700576959990608</v>
      </c>
      <c r="V27">
        <f t="shared" si="4"/>
        <v>-8.3820921488611963E-2</v>
      </c>
      <c r="W27">
        <f t="shared" si="4"/>
        <v>0.47936392662268212</v>
      </c>
      <c r="X27">
        <f t="shared" si="4"/>
        <v>1.0425487747339761</v>
      </c>
      <c r="Y27">
        <f t="shared" si="4"/>
        <v>1.6057336228452703</v>
      </c>
      <c r="Z27">
        <f t="shared" si="4"/>
        <v>2.1689184709565645</v>
      </c>
      <c r="AA27">
        <f t="shared" si="4"/>
        <v>2.7321033190678583</v>
      </c>
    </row>
    <row r="28" spans="1:32" x14ac:dyDescent="0.25">
      <c r="A28" s="2" t="s">
        <v>29</v>
      </c>
      <c r="B28" s="6" t="s">
        <v>59</v>
      </c>
      <c r="C28" s="5" t="s">
        <v>18</v>
      </c>
      <c r="O28">
        <v>0.7765642354683463</v>
      </c>
      <c r="P28">
        <v>1.8287806397818969</v>
      </c>
      <c r="S28">
        <f t="shared" si="4"/>
        <v>-2.6118847343211193</v>
      </c>
      <c r="T28">
        <f t="shared" si="4"/>
        <v>-2.0650722964339479</v>
      </c>
      <c r="U28">
        <f t="shared" si="4"/>
        <v>-1.5182598585467766</v>
      </c>
      <c r="V28">
        <f t="shared" si="4"/>
        <v>-0.9714474206596051</v>
      </c>
      <c r="W28">
        <f t="shared" si="4"/>
        <v>-0.42463498277243383</v>
      </c>
      <c r="X28">
        <f t="shared" si="4"/>
        <v>0.12217745511473754</v>
      </c>
      <c r="Y28">
        <f t="shared" si="4"/>
        <v>0.66898989300190892</v>
      </c>
      <c r="Z28">
        <f t="shared" si="4"/>
        <v>1.2158023308890804</v>
      </c>
      <c r="AA28">
        <f t="shared" si="4"/>
        <v>1.7626147687762517</v>
      </c>
    </row>
    <row r="29" spans="1:32" x14ac:dyDescent="0.25">
      <c r="A29" s="2" t="s">
        <v>30</v>
      </c>
      <c r="B29" s="6" t="s">
        <v>78</v>
      </c>
      <c r="C29" s="5" t="s">
        <v>19</v>
      </c>
      <c r="O29">
        <v>-0.39096630877452732</v>
      </c>
      <c r="P29">
        <v>1.902661831041164</v>
      </c>
      <c r="S29">
        <f t="shared" si="4"/>
        <v>-1.8968340208152266</v>
      </c>
      <c r="T29">
        <f t="shared" si="4"/>
        <v>-1.3712545491059605</v>
      </c>
      <c r="U29">
        <f t="shared" si="4"/>
        <v>-0.84567507739669434</v>
      </c>
      <c r="V29">
        <f t="shared" si="4"/>
        <v>-0.32009560568742823</v>
      </c>
      <c r="W29">
        <f t="shared" si="4"/>
        <v>0.20548386602183788</v>
      </c>
      <c r="X29">
        <f t="shared" si="4"/>
        <v>0.7310633377311041</v>
      </c>
      <c r="Y29">
        <f t="shared" si="4"/>
        <v>1.2566428094403703</v>
      </c>
      <c r="Z29">
        <f t="shared" si="4"/>
        <v>1.7822222811496364</v>
      </c>
      <c r="AA29">
        <f t="shared" si="4"/>
        <v>2.3078017528589023</v>
      </c>
    </row>
    <row r="30" spans="1:32" x14ac:dyDescent="0.25">
      <c r="A30" s="2" t="s">
        <v>31</v>
      </c>
      <c r="B30" s="6" t="s">
        <v>79</v>
      </c>
      <c r="C30" s="5" t="s">
        <v>20</v>
      </c>
      <c r="O30">
        <v>0.5251758607922995</v>
      </c>
      <c r="P30">
        <v>1.7971091230976279</v>
      </c>
      <c r="S30">
        <f t="shared" si="4"/>
        <v>-2.5180306541387858</v>
      </c>
      <c r="T30">
        <f t="shared" si="4"/>
        <v>-1.9615814173354427</v>
      </c>
      <c r="U30">
        <f t="shared" si="4"/>
        <v>-1.4051321805320998</v>
      </c>
      <c r="V30">
        <f t="shared" si="4"/>
        <v>-0.84868294372875674</v>
      </c>
      <c r="W30">
        <f t="shared" si="4"/>
        <v>-0.29223370692541373</v>
      </c>
      <c r="X30">
        <f t="shared" si="4"/>
        <v>0.26421552987792923</v>
      </c>
      <c r="Y30">
        <f t="shared" si="4"/>
        <v>0.82066476668127208</v>
      </c>
      <c r="Z30">
        <f t="shared" si="4"/>
        <v>1.3771140034846152</v>
      </c>
      <c r="AA30">
        <f t="shared" si="4"/>
        <v>1.9335632402879581</v>
      </c>
    </row>
    <row r="31" spans="1:32" ht="15.75" thickBot="1" x14ac:dyDescent="0.3">
      <c r="A31" s="2"/>
      <c r="B31" s="6"/>
      <c r="C31" s="5"/>
    </row>
    <row r="32" spans="1:32" x14ac:dyDescent="0.25">
      <c r="A32" s="2"/>
      <c r="B32" s="6"/>
      <c r="C32" s="5"/>
      <c r="O32" s="24" t="s">
        <v>70</v>
      </c>
      <c r="P32" s="25"/>
      <c r="Q32" s="25"/>
      <c r="R32" s="25"/>
      <c r="S32" s="25"/>
      <c r="T32" s="26"/>
      <c r="U32" s="7"/>
      <c r="V32" s="27"/>
      <c r="W32" s="27"/>
      <c r="X32" s="27"/>
      <c r="Y32" s="27"/>
      <c r="Z32" s="27"/>
      <c r="AA32" s="27"/>
      <c r="AB32" s="7"/>
      <c r="AC32" s="27"/>
      <c r="AD32" s="27"/>
      <c r="AE32" s="27"/>
      <c r="AF32" s="27"/>
    </row>
    <row r="33" spans="1:32" x14ac:dyDescent="0.25">
      <c r="A33" s="2"/>
      <c r="B33" s="6"/>
      <c r="C33" s="5"/>
      <c r="N33" s="8" t="s">
        <v>69</v>
      </c>
      <c r="O33" s="10">
        <v>11</v>
      </c>
      <c r="P33" s="11">
        <v>12</v>
      </c>
      <c r="Q33" s="11">
        <v>13</v>
      </c>
      <c r="R33" s="11">
        <v>14</v>
      </c>
      <c r="S33" s="11">
        <v>15</v>
      </c>
      <c r="T33" s="12">
        <v>16</v>
      </c>
      <c r="U33" s="18"/>
      <c r="V33" s="7"/>
      <c r="Y33" s="7"/>
      <c r="Z33" s="8" t="s">
        <v>69</v>
      </c>
      <c r="AA33" s="9"/>
      <c r="AB33" s="9"/>
      <c r="AC33" s="9"/>
      <c r="AD33" s="11"/>
      <c r="AE33" s="7"/>
      <c r="AF33" s="7"/>
    </row>
    <row r="34" spans="1:32" x14ac:dyDescent="0.25">
      <c r="A34" s="2"/>
      <c r="B34" s="6" t="s">
        <v>60</v>
      </c>
      <c r="C34" s="5" t="s">
        <v>3</v>
      </c>
      <c r="O34" s="13">
        <v>-0.51349999999999996</v>
      </c>
      <c r="P34" s="7">
        <v>-0.1429</v>
      </c>
      <c r="Q34" s="7">
        <v>-0.3291</v>
      </c>
      <c r="R34" s="7">
        <v>0.54400000000000004</v>
      </c>
      <c r="S34" s="7">
        <v>0.92930000000000001</v>
      </c>
      <c r="T34" s="14">
        <v>-0.32040000000000002</v>
      </c>
      <c r="U34" s="7"/>
      <c r="V34" s="7"/>
      <c r="Y34" s="7"/>
      <c r="Z34" s="7">
        <v>11</v>
      </c>
      <c r="AA34" s="7" t="s">
        <v>71</v>
      </c>
      <c r="AB34" s="18"/>
      <c r="AC34" s="7"/>
      <c r="AD34" s="7"/>
      <c r="AE34" s="7"/>
      <c r="AF34" s="7"/>
    </row>
    <row r="35" spans="1:32" x14ac:dyDescent="0.25">
      <c r="A35" s="2"/>
      <c r="B35" s="6" t="s">
        <v>61</v>
      </c>
      <c r="C35" s="5" t="s">
        <v>4</v>
      </c>
      <c r="O35" s="13">
        <v>-3.9E-2</v>
      </c>
      <c r="P35" s="7">
        <v>-0.8206</v>
      </c>
      <c r="Q35" s="7">
        <v>-0.54400000000000004</v>
      </c>
      <c r="R35" s="7">
        <v>0.1583</v>
      </c>
      <c r="S35" s="7">
        <v>0.62919999999999998</v>
      </c>
      <c r="T35" s="14">
        <v>0.81640000000000001</v>
      </c>
      <c r="U35" s="7"/>
      <c r="V35" s="7"/>
      <c r="Y35" s="7"/>
      <c r="Z35" s="7">
        <v>12</v>
      </c>
      <c r="AA35" s="7" t="s">
        <v>72</v>
      </c>
      <c r="AB35" s="7"/>
      <c r="AC35" s="7"/>
      <c r="AD35" s="7"/>
      <c r="AE35" s="7"/>
      <c r="AF35" s="7"/>
    </row>
    <row r="36" spans="1:32" x14ac:dyDescent="0.25">
      <c r="A36" s="2"/>
      <c r="B36" s="6" t="s">
        <v>62</v>
      </c>
      <c r="C36" s="5" t="s">
        <v>5</v>
      </c>
      <c r="O36" s="13">
        <v>-0.43559999999999999</v>
      </c>
      <c r="P36" s="7">
        <v>-0.37980000000000003</v>
      </c>
      <c r="Q36" s="7">
        <v>-0.31259999999999999</v>
      </c>
      <c r="R36" s="7">
        <v>1.1914</v>
      </c>
      <c r="S36" s="7">
        <v>0.64849999999999997</v>
      </c>
      <c r="T36" s="14">
        <v>-0.43819999999999998</v>
      </c>
      <c r="U36" s="7"/>
      <c r="V36" s="7"/>
      <c r="Y36" s="7"/>
      <c r="Z36" s="7">
        <v>13</v>
      </c>
      <c r="AA36" s="7" t="s">
        <v>73</v>
      </c>
      <c r="AB36" s="7"/>
      <c r="AC36" s="7"/>
      <c r="AD36" s="7"/>
      <c r="AE36" s="7"/>
      <c r="AF36" s="7"/>
    </row>
    <row r="37" spans="1:32" x14ac:dyDescent="0.25">
      <c r="A37" s="2"/>
      <c r="B37" s="6" t="s">
        <v>63</v>
      </c>
      <c r="C37" s="5" t="s">
        <v>6</v>
      </c>
      <c r="O37" s="13">
        <v>0.48909999999999998</v>
      </c>
      <c r="P37" s="7">
        <v>-0.59130000000000005</v>
      </c>
      <c r="Q37" s="7">
        <v>0.75439999999999996</v>
      </c>
      <c r="R37" s="7">
        <v>0.2422</v>
      </c>
      <c r="S37" s="7">
        <v>-0.1966</v>
      </c>
      <c r="T37" s="14">
        <v>-0.71950000000000003</v>
      </c>
      <c r="U37" s="7"/>
      <c r="V37" s="7"/>
      <c r="Y37" s="7"/>
      <c r="Z37" s="7">
        <v>14</v>
      </c>
      <c r="AA37" s="7" t="s">
        <v>74</v>
      </c>
      <c r="AB37" s="7"/>
      <c r="AC37" s="7"/>
      <c r="AD37" s="7"/>
      <c r="AE37" s="7"/>
      <c r="AF37" s="7"/>
    </row>
    <row r="38" spans="1:32" x14ac:dyDescent="0.25">
      <c r="A38" s="2"/>
      <c r="B38" s="6" t="s">
        <v>64</v>
      </c>
      <c r="C38" s="5" t="s">
        <v>7</v>
      </c>
      <c r="O38" s="13">
        <v>0.51939999999999997</v>
      </c>
      <c r="P38" s="7">
        <v>0.29260000000000003</v>
      </c>
      <c r="Q38" s="7">
        <v>0.2316</v>
      </c>
      <c r="R38" s="7">
        <v>0.1168</v>
      </c>
      <c r="S38" s="7">
        <v>-1.3929</v>
      </c>
      <c r="T38" s="14">
        <v>0.1419</v>
      </c>
      <c r="U38" s="7"/>
      <c r="V38" s="7"/>
      <c r="Y38" s="7"/>
      <c r="Z38" s="7">
        <v>15</v>
      </c>
      <c r="AA38" s="7" t="s">
        <v>75</v>
      </c>
      <c r="AB38" s="7"/>
      <c r="AC38" s="7"/>
      <c r="AD38" s="7"/>
      <c r="AE38" s="7"/>
      <c r="AF38" s="7"/>
    </row>
    <row r="39" spans="1:32" x14ac:dyDescent="0.25">
      <c r="A39" s="2"/>
      <c r="B39" s="6" t="s">
        <v>65</v>
      </c>
      <c r="C39" s="5" t="s">
        <v>8</v>
      </c>
      <c r="O39" s="13">
        <v>-0.12690000000000001</v>
      </c>
      <c r="P39" s="7">
        <v>-0.16109999999999999</v>
      </c>
      <c r="Q39" s="7">
        <v>0.5696</v>
      </c>
      <c r="R39" s="7">
        <v>-0.28860000000000002</v>
      </c>
      <c r="S39" s="7">
        <v>-0.29559999999999997</v>
      </c>
      <c r="T39" s="14">
        <v>0.2223</v>
      </c>
      <c r="U39" s="7"/>
      <c r="V39" s="7"/>
      <c r="W39" s="7"/>
      <c r="X39" s="7"/>
      <c r="Y39" s="7"/>
      <c r="Z39" s="7">
        <v>16</v>
      </c>
      <c r="AA39" s="7" t="s">
        <v>76</v>
      </c>
      <c r="AB39" s="7"/>
      <c r="AC39" s="7"/>
      <c r="AD39" s="7"/>
      <c r="AE39" s="7"/>
      <c r="AF39" s="7"/>
    </row>
    <row r="40" spans="1:32" ht="13.5" customHeight="1" x14ac:dyDescent="0.25">
      <c r="A40" s="2"/>
      <c r="B40" s="6" t="s">
        <v>66</v>
      </c>
      <c r="C40" s="5" t="s">
        <v>9</v>
      </c>
      <c r="O40" s="13">
        <v>0.25700000000000001</v>
      </c>
      <c r="P40" s="7">
        <v>0.87080000000000002</v>
      </c>
      <c r="Q40" s="7">
        <v>-0.20050000000000001</v>
      </c>
      <c r="R40" s="7">
        <v>-0.57040000000000002</v>
      </c>
      <c r="S40" s="7">
        <v>-0.37119999999999997</v>
      </c>
      <c r="T40" s="14">
        <v>-0.16539999999999999</v>
      </c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ht="13.5" customHeight="1" x14ac:dyDescent="0.25">
      <c r="A41" s="2"/>
      <c r="B41" s="6" t="s">
        <v>96</v>
      </c>
      <c r="C41" s="28" t="s">
        <v>97</v>
      </c>
      <c r="O41" s="13">
        <v>0.4032</v>
      </c>
      <c r="P41" s="7">
        <v>-0.13159999999999999</v>
      </c>
      <c r="Q41" s="7">
        <v>9.0200000000000002E-2</v>
      </c>
      <c r="R41" s="7">
        <v>-0.93859999999999999</v>
      </c>
      <c r="S41" s="7">
        <v>-0.1134</v>
      </c>
      <c r="T41" s="14">
        <v>0.54700000000000004</v>
      </c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x14ac:dyDescent="0.25">
      <c r="A42" s="2"/>
      <c r="B42" s="6" t="s">
        <v>67</v>
      </c>
      <c r="C42" s="5" t="s">
        <v>10</v>
      </c>
      <c r="O42" s="13">
        <v>-0.70750000000000002</v>
      </c>
      <c r="P42" s="7">
        <v>1.0908</v>
      </c>
      <c r="Q42" s="7">
        <v>-0.13120000000000001</v>
      </c>
      <c r="R42" s="7">
        <v>0.24060000000000001</v>
      </c>
      <c r="S42" s="7">
        <v>4.1099999999999998E-2</v>
      </c>
      <c r="T42" s="14">
        <v>-0.57950000000000002</v>
      </c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25">
      <c r="A43" s="2"/>
      <c r="B43" s="6" t="s">
        <v>68</v>
      </c>
      <c r="C43" s="5" t="s">
        <v>38</v>
      </c>
      <c r="O43" s="13">
        <v>0.16259999999999999</v>
      </c>
      <c r="P43" s="7">
        <v>-0.2097</v>
      </c>
      <c r="Q43" s="7">
        <v>-0.11840000000000001</v>
      </c>
      <c r="R43" s="7">
        <v>-0.70950000000000002</v>
      </c>
      <c r="S43" s="7">
        <v>0.28660000000000002</v>
      </c>
      <c r="T43" s="14">
        <v>0.52849999999999997</v>
      </c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25">
      <c r="A44" s="2"/>
      <c r="B44" s="6" t="s">
        <v>33</v>
      </c>
      <c r="C44" s="4" t="s">
        <v>2</v>
      </c>
      <c r="O44" s="13">
        <v>0.7218</v>
      </c>
      <c r="P44" s="7">
        <v>0.4355</v>
      </c>
      <c r="Q44" s="7">
        <v>-0.47570000000000001</v>
      </c>
      <c r="R44" s="7">
        <v>-0.3332</v>
      </c>
      <c r="S44" s="7">
        <v>-0.4753</v>
      </c>
      <c r="T44" s="14">
        <v>0.22120000000000001</v>
      </c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ht="15.75" thickBot="1" x14ac:dyDescent="0.3">
      <c r="A45" s="2"/>
      <c r="B45" s="6" t="s">
        <v>34</v>
      </c>
      <c r="C45" s="5" t="s">
        <v>35</v>
      </c>
      <c r="O45" s="15">
        <v>0.79610000000000003</v>
      </c>
      <c r="P45" s="16">
        <v>0.17269999999999999</v>
      </c>
      <c r="Q45" s="16">
        <v>6.1999999999999998E-3</v>
      </c>
      <c r="R45" s="16">
        <v>-0.26700000000000002</v>
      </c>
      <c r="S45" s="16">
        <v>-0.50039999999999996</v>
      </c>
      <c r="T45" s="17">
        <v>-5.4699999999999999E-2</v>
      </c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x14ac:dyDescent="0.25">
      <c r="A46" s="2"/>
      <c r="B46" s="6"/>
      <c r="C46" s="5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ht="15.75" thickBot="1" x14ac:dyDescent="0.3">
      <c r="A47" s="2"/>
      <c r="B47" s="6"/>
      <c r="C47" s="5"/>
      <c r="T47" s="7"/>
      <c r="U47" s="7"/>
      <c r="V47" s="7"/>
      <c r="W47" s="7"/>
      <c r="X47" s="7"/>
      <c r="Y47" s="7"/>
      <c r="Z47" s="8" t="s">
        <v>69</v>
      </c>
      <c r="AA47" s="9"/>
      <c r="AB47" s="9"/>
      <c r="AC47" s="9"/>
      <c r="AD47" s="11"/>
      <c r="AE47" s="7"/>
      <c r="AF47" s="7"/>
    </row>
    <row r="48" spans="1:32" x14ac:dyDescent="0.25">
      <c r="A48" s="2"/>
      <c r="B48" s="6"/>
      <c r="C48" s="5"/>
      <c r="N48" s="8" t="s">
        <v>69</v>
      </c>
      <c r="O48" s="19">
        <v>1</v>
      </c>
      <c r="P48" s="20">
        <v>2</v>
      </c>
      <c r="Q48" s="20">
        <v>3</v>
      </c>
      <c r="R48" s="20">
        <v>4</v>
      </c>
      <c r="S48" s="20">
        <v>5</v>
      </c>
      <c r="T48" s="20">
        <v>6</v>
      </c>
      <c r="U48" s="20">
        <v>7</v>
      </c>
      <c r="V48" s="20">
        <v>8</v>
      </c>
      <c r="W48" s="20">
        <v>9</v>
      </c>
      <c r="X48" s="21">
        <v>10</v>
      </c>
      <c r="Y48" s="7"/>
      <c r="Z48" s="7">
        <v>1</v>
      </c>
      <c r="AA48" s="7" t="s">
        <v>82</v>
      </c>
      <c r="AB48" s="7"/>
      <c r="AC48" s="7"/>
      <c r="AD48" s="7"/>
      <c r="AE48" s="7"/>
      <c r="AF48" s="7"/>
    </row>
    <row r="49" spans="1:32" x14ac:dyDescent="0.25">
      <c r="A49" s="2"/>
      <c r="B49" s="6" t="s">
        <v>50</v>
      </c>
      <c r="C49" s="5" t="s">
        <v>11</v>
      </c>
      <c r="O49" s="13">
        <v>0.2</v>
      </c>
      <c r="P49" s="7">
        <v>9.5999999999999992E-3</v>
      </c>
      <c r="Q49" s="7">
        <v>0.91459999999999997</v>
      </c>
      <c r="R49" s="7">
        <v>-0.1336</v>
      </c>
      <c r="S49" s="7">
        <v>-0.6956</v>
      </c>
      <c r="T49" s="7">
        <v>0.58460000000000001</v>
      </c>
      <c r="U49" s="7">
        <v>0.46479999999999999</v>
      </c>
      <c r="V49" s="7">
        <v>-0.25540000000000002</v>
      </c>
      <c r="W49" s="7">
        <v>-0.73899999999999999</v>
      </c>
      <c r="X49" s="14">
        <v>-0.87870000000000004</v>
      </c>
      <c r="Y49" s="7"/>
      <c r="Z49" s="7">
        <v>2</v>
      </c>
      <c r="AA49" s="7" t="s">
        <v>83</v>
      </c>
      <c r="AB49" s="7"/>
      <c r="AC49" s="7"/>
      <c r="AD49" s="7"/>
      <c r="AE49" s="7"/>
      <c r="AF49" s="7"/>
    </row>
    <row r="50" spans="1:32" x14ac:dyDescent="0.25">
      <c r="A50" s="2"/>
      <c r="B50" s="6" t="s">
        <v>49</v>
      </c>
      <c r="C50" s="5" t="s">
        <v>12</v>
      </c>
      <c r="O50" s="13">
        <v>-6.08E-2</v>
      </c>
      <c r="P50" s="7">
        <v>3.0800000000000001E-2</v>
      </c>
      <c r="Q50" s="7">
        <v>-0.56469999999999998</v>
      </c>
      <c r="R50" s="7">
        <v>5.3E-3</v>
      </c>
      <c r="S50" s="7">
        <v>0.72570000000000001</v>
      </c>
      <c r="T50" s="7">
        <v>-3.6200000000000003E-2</v>
      </c>
      <c r="U50" s="7">
        <v>1.8499999999999999E-2</v>
      </c>
      <c r="V50" s="7">
        <v>-0.44009999999999999</v>
      </c>
      <c r="W50" s="7">
        <v>0.1704</v>
      </c>
      <c r="X50" s="14">
        <v>0.67579999999999996</v>
      </c>
      <c r="Z50">
        <v>3</v>
      </c>
      <c r="AA50" t="s">
        <v>84</v>
      </c>
    </row>
    <row r="51" spans="1:32" x14ac:dyDescent="0.25">
      <c r="A51" s="2"/>
      <c r="B51" s="6" t="s">
        <v>48</v>
      </c>
      <c r="C51" s="5" t="s">
        <v>39</v>
      </c>
      <c r="O51" s="13">
        <v>-6.3299999999999995E-2</v>
      </c>
      <c r="P51" s="7">
        <v>0.67</v>
      </c>
      <c r="Q51" s="7">
        <v>-0.47910000000000003</v>
      </c>
      <c r="R51" s="7">
        <v>-0.35289999999999999</v>
      </c>
      <c r="S51" s="7">
        <v>0.71199999999999997</v>
      </c>
      <c r="T51" s="7">
        <v>-0.20580000000000001</v>
      </c>
      <c r="U51" s="7">
        <v>-0.51039999999999996</v>
      </c>
      <c r="V51" s="7">
        <v>-0.45639999999999997</v>
      </c>
      <c r="W51" s="7">
        <v>0.39529999999999998</v>
      </c>
      <c r="X51" s="14">
        <v>5.6099999999999997E-2</v>
      </c>
      <c r="Z51" s="7">
        <v>4</v>
      </c>
      <c r="AA51" t="s">
        <v>80</v>
      </c>
    </row>
    <row r="52" spans="1:32" x14ac:dyDescent="0.25">
      <c r="A52" s="2"/>
      <c r="B52" s="6" t="s">
        <v>47</v>
      </c>
      <c r="C52" s="5" t="s">
        <v>13</v>
      </c>
      <c r="O52" s="13">
        <v>0.89119999999999999</v>
      </c>
      <c r="P52" s="7">
        <v>0.48630000000000001</v>
      </c>
      <c r="Q52" s="7">
        <v>-0.2283</v>
      </c>
      <c r="R52" s="7">
        <v>0.1686</v>
      </c>
      <c r="S52" s="7">
        <v>0.98880000000000001</v>
      </c>
      <c r="T52" s="7">
        <v>-0.74180000000000001</v>
      </c>
      <c r="U52" s="7">
        <v>-0.90720000000000001</v>
      </c>
      <c r="V52" s="7">
        <v>0.1943</v>
      </c>
      <c r="W52" s="7">
        <v>-0.19889999999999999</v>
      </c>
      <c r="X52" s="14">
        <v>-0.45810000000000001</v>
      </c>
      <c r="Z52" s="7">
        <v>5</v>
      </c>
      <c r="AA52" t="s">
        <v>85</v>
      </c>
    </row>
    <row r="53" spans="1:32" x14ac:dyDescent="0.25">
      <c r="A53" s="2"/>
      <c r="B53" s="6" t="s">
        <v>46</v>
      </c>
      <c r="C53" s="5" t="s">
        <v>14</v>
      </c>
      <c r="O53" s="13">
        <v>0.15609999999999999</v>
      </c>
      <c r="P53" s="7">
        <v>-0.75209999999999999</v>
      </c>
      <c r="Q53" s="7">
        <v>-0.68669999999999998</v>
      </c>
      <c r="R53" s="7">
        <v>0.60360000000000003</v>
      </c>
      <c r="S53" s="7">
        <v>-0.15129999999999999</v>
      </c>
      <c r="T53" s="7">
        <v>-7.5399999999999995E-2</v>
      </c>
      <c r="U53" s="7">
        <v>0.82579999999999998</v>
      </c>
      <c r="V53" s="7">
        <v>0.33329999999999999</v>
      </c>
      <c r="W53" s="7">
        <v>-7.9299999999999995E-2</v>
      </c>
      <c r="X53" s="14">
        <v>1.0337000000000001</v>
      </c>
      <c r="Z53">
        <v>6</v>
      </c>
      <c r="AA53" t="s">
        <v>81</v>
      </c>
    </row>
    <row r="54" spans="1:32" x14ac:dyDescent="0.25">
      <c r="A54" s="2"/>
      <c r="B54" s="6" t="s">
        <v>95</v>
      </c>
      <c r="C54" s="5" t="s">
        <v>98</v>
      </c>
      <c r="O54" s="13">
        <v>-0.60209999999999997</v>
      </c>
      <c r="P54" s="7">
        <v>0.12770000000000001</v>
      </c>
      <c r="Q54" s="7">
        <v>-0.2994</v>
      </c>
      <c r="R54" s="7">
        <v>5.5100000000000003E-2</v>
      </c>
      <c r="S54" s="7">
        <v>0.26640000000000003</v>
      </c>
      <c r="T54" s="7">
        <v>-0.48370000000000002</v>
      </c>
      <c r="U54" s="7">
        <v>-0.14929999999999999</v>
      </c>
      <c r="V54" s="7">
        <v>0.14779999999999999</v>
      </c>
      <c r="W54" s="7">
        <v>0.57569999999999999</v>
      </c>
      <c r="X54" s="14">
        <v>0.43790000000000001</v>
      </c>
      <c r="Z54" s="7">
        <v>7</v>
      </c>
      <c r="AA54" t="s">
        <v>86</v>
      </c>
    </row>
    <row r="55" spans="1:32" x14ac:dyDescent="0.25">
      <c r="A55" s="2"/>
      <c r="B55" s="6" t="s">
        <v>45</v>
      </c>
      <c r="C55" s="5" t="s">
        <v>15</v>
      </c>
      <c r="O55" s="13">
        <v>-0.17780000000000001</v>
      </c>
      <c r="P55" s="7">
        <v>-0.99080000000000001</v>
      </c>
      <c r="Q55" s="7">
        <v>-0.8135</v>
      </c>
      <c r="R55" s="7">
        <v>0.23300000000000001</v>
      </c>
      <c r="S55" s="7">
        <v>-0.1464</v>
      </c>
      <c r="T55" s="7">
        <v>8.5099999999999995E-2</v>
      </c>
      <c r="U55" s="7">
        <v>0.23599999999999999</v>
      </c>
      <c r="V55" s="7">
        <v>0.9657</v>
      </c>
      <c r="W55" s="7">
        <v>0.38769999999999999</v>
      </c>
      <c r="X55" s="14">
        <v>0.92969999999999997</v>
      </c>
      <c r="Z55" s="7">
        <v>8</v>
      </c>
      <c r="AA55" t="s">
        <v>87</v>
      </c>
    </row>
    <row r="56" spans="1:32" x14ac:dyDescent="0.25">
      <c r="A56" s="2"/>
      <c r="B56" s="6" t="s">
        <v>44</v>
      </c>
      <c r="C56" s="5" t="s">
        <v>16</v>
      </c>
      <c r="O56" s="13">
        <v>-0.77049999999999996</v>
      </c>
      <c r="P56" s="7">
        <v>-0.23430000000000001</v>
      </c>
      <c r="Q56" s="7">
        <v>-0.34770000000000001</v>
      </c>
      <c r="R56" s="7">
        <v>-1.0279</v>
      </c>
      <c r="S56" s="7">
        <v>-0.57199999999999995</v>
      </c>
      <c r="T56" s="7">
        <v>0.69320000000000004</v>
      </c>
      <c r="U56" s="7">
        <v>0.15640000000000001</v>
      </c>
      <c r="V56" s="7">
        <v>0.26319999999999999</v>
      </c>
      <c r="W56" s="7">
        <v>0.58450000000000002</v>
      </c>
      <c r="X56" s="14">
        <v>0.51419999999999999</v>
      </c>
      <c r="Z56">
        <v>9</v>
      </c>
      <c r="AA56" t="s">
        <v>88</v>
      </c>
    </row>
    <row r="57" spans="1:32" x14ac:dyDescent="0.25">
      <c r="A57" s="2"/>
      <c r="B57" s="6" t="s">
        <v>43</v>
      </c>
      <c r="C57" s="5" t="s">
        <v>17</v>
      </c>
      <c r="O57" s="13">
        <v>0.19639999999999999</v>
      </c>
      <c r="P57" s="7">
        <v>-0.57630000000000003</v>
      </c>
      <c r="Q57" s="7">
        <v>4.4600000000000001E-2</v>
      </c>
      <c r="R57" s="7">
        <v>1.363</v>
      </c>
      <c r="S57" s="7">
        <v>-3.6900000000000002E-2</v>
      </c>
      <c r="T57" s="7">
        <v>-0.42059999999999997</v>
      </c>
      <c r="U57" s="7">
        <v>0.90039999999999998</v>
      </c>
      <c r="V57" s="7">
        <v>0.29310000000000003</v>
      </c>
      <c r="W57" s="7">
        <v>-0.58850000000000002</v>
      </c>
      <c r="X57" s="14">
        <v>0.11119999999999999</v>
      </c>
      <c r="Z57" s="7">
        <v>10</v>
      </c>
      <c r="AA57" t="s">
        <v>89</v>
      </c>
    </row>
    <row r="58" spans="1:32" x14ac:dyDescent="0.25">
      <c r="A58" s="2"/>
      <c r="B58" s="6" t="s">
        <v>42</v>
      </c>
      <c r="C58" s="5" t="s">
        <v>18</v>
      </c>
      <c r="O58" s="13">
        <v>-0.31759999999999999</v>
      </c>
      <c r="P58" s="7">
        <v>0.7097</v>
      </c>
      <c r="Q58" s="7">
        <v>0.47939999999999999</v>
      </c>
      <c r="R58" s="7">
        <v>-0.84909999999999997</v>
      </c>
      <c r="S58" s="7">
        <v>-0.2762</v>
      </c>
      <c r="T58" s="7">
        <v>0.4546</v>
      </c>
      <c r="U58" s="7">
        <v>-0.4476</v>
      </c>
      <c r="V58" s="7">
        <v>-0.82320000000000004</v>
      </c>
      <c r="W58" s="7">
        <v>0.34670000000000001</v>
      </c>
      <c r="X58" s="14">
        <v>-0.47870000000000001</v>
      </c>
    </row>
    <row r="59" spans="1:32" x14ac:dyDescent="0.25">
      <c r="A59" s="2"/>
      <c r="B59" s="6" t="s">
        <v>41</v>
      </c>
      <c r="C59" s="5" t="s">
        <v>19</v>
      </c>
      <c r="O59" s="13">
        <v>0.59219999999999995</v>
      </c>
      <c r="P59" s="7">
        <v>0.29099999999999998</v>
      </c>
      <c r="Q59" s="7">
        <v>1.1052</v>
      </c>
      <c r="R59" s="7">
        <v>0.67920000000000003</v>
      </c>
      <c r="S59" s="7">
        <v>2.0299999999999999E-2</v>
      </c>
      <c r="T59" s="7">
        <v>-0.51880000000000004</v>
      </c>
      <c r="U59" s="7">
        <v>-0.4748</v>
      </c>
      <c r="V59" s="7">
        <v>9.0399999999999994E-2</v>
      </c>
      <c r="W59" s="7">
        <v>-0.71550000000000002</v>
      </c>
      <c r="X59" s="14">
        <v>-1.1919999999999999</v>
      </c>
    </row>
    <row r="60" spans="1:32" ht="15.75" thickBot="1" x14ac:dyDescent="0.3">
      <c r="A60" s="2"/>
      <c r="B60" s="6" t="s">
        <v>40</v>
      </c>
      <c r="C60" s="5" t="s">
        <v>20</v>
      </c>
      <c r="O60" s="15">
        <v>-1.66E-2</v>
      </c>
      <c r="P60" s="16">
        <v>0.38790000000000002</v>
      </c>
      <c r="Q60" s="16">
        <v>0.92359999999999998</v>
      </c>
      <c r="R60" s="16">
        <v>-0.86519999999999997</v>
      </c>
      <c r="S60" s="16">
        <v>-0.68700000000000006</v>
      </c>
      <c r="T60" s="16">
        <v>0.68879999999999997</v>
      </c>
      <c r="U60" s="16">
        <v>-0.2467</v>
      </c>
      <c r="V60" s="16">
        <v>-0.4652</v>
      </c>
      <c r="W60" s="16">
        <v>-0.15359999999999999</v>
      </c>
      <c r="X60" s="17">
        <v>-0.87480000000000002</v>
      </c>
    </row>
    <row r="61" spans="1:32" x14ac:dyDescent="0.25">
      <c r="A61" s="2"/>
      <c r="B61" s="6"/>
      <c r="C61" s="5"/>
    </row>
    <row r="62" spans="1:32" x14ac:dyDescent="0.25">
      <c r="A62" s="2"/>
      <c r="B62" s="6"/>
      <c r="C62" s="5"/>
      <c r="O62" t="s">
        <v>91</v>
      </c>
      <c r="Y62" s="1" t="s">
        <v>93</v>
      </c>
    </row>
    <row r="63" spans="1:32" x14ac:dyDescent="0.25">
      <c r="A63" s="2"/>
      <c r="B63" s="6"/>
      <c r="C63" s="5"/>
      <c r="O63" s="1" t="s">
        <v>92</v>
      </c>
    </row>
    <row r="64" spans="1:32" x14ac:dyDescent="0.25">
      <c r="A64" s="2"/>
      <c r="B64" s="6"/>
      <c r="C64" s="5"/>
      <c r="O64" t="s">
        <v>94</v>
      </c>
    </row>
    <row r="65" spans="1:3" x14ac:dyDescent="0.25">
      <c r="A65" s="2"/>
      <c r="B65" s="6"/>
      <c r="C65" s="5"/>
    </row>
    <row r="66" spans="1:3" x14ac:dyDescent="0.25">
      <c r="A66" s="2"/>
      <c r="B66" s="6"/>
      <c r="C66" s="5"/>
    </row>
  </sheetData>
  <mergeCells count="4">
    <mergeCell ref="S1:AA1"/>
    <mergeCell ref="O32:T32"/>
    <mergeCell ref="V32:AA32"/>
    <mergeCell ref="AC32:AF32"/>
  </mergeCells>
  <phoneticPr fontId="6" type="noConversion"/>
  <conditionalFormatting sqref="S3:Y4">
    <cfRule type="expression" dxfId="2" priority="4">
      <formula>#REF!=S$2</formula>
    </cfRule>
  </conditionalFormatting>
  <conditionalFormatting sqref="S7:AA7">
    <cfRule type="expression" dxfId="1" priority="3">
      <formula>#REF!=$S$6:$AA$6</formula>
    </cfRule>
  </conditionalFormatting>
  <conditionalFormatting sqref="S7:AA16">
    <cfRule type="expression" dxfId="0" priority="5">
      <formula>#REF!=S$6</formula>
    </cfRule>
  </conditionalFormatting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Reduced Typing Tool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2026-02-11T15:18:28Z</dcterms:created>
  <dcterms:modified xsi:type="dcterms:W3CDTF">2026-03-05T21:06:54Z</dcterms:modified>
</cp:coreProperties>
</file>